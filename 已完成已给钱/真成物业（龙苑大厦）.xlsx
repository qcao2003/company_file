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75" windowHeight="11925"/>
  </bookViews>
  <sheets>
    <sheet name="真成物业（龙苑大厦）" sheetId="1" r:id="rId1"/>
  </sheets>
  <definedNames>
    <definedName name="_xlnm._FilterDatabase" localSheetId="0" hidden="1">'真成物业（龙苑大厦）'!$A$1:$Q$16</definedName>
    <definedName name="_xlnm.Print_Area" localSheetId="0">'真成物业（龙苑大厦）'!$A$4:$L$15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<sst xmlns="http://schemas.openxmlformats.org/spreadsheetml/2006/main" count="70" uniqueCount="42">
  <si>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序号</t>
  </si>
  <si>
    <t>单位名称</t>
  </si>
  <si>
    <t>维修日期/维保期</t>
  </si>
  <si>
    <t>回单日期</t>
  </si>
  <si>
    <t>单号</t>
  </si>
  <si>
    <t>项目名称</t>
  </si>
  <si>
    <t>规格型号</t>
  </si>
  <si>
    <t>单位</t>
  </si>
  <si>
    <t>数量</t>
  </si>
  <si>
    <t>单价</t>
  </si>
  <si>
    <t>金额（元）</t>
  </si>
  <si>
    <t>经手人</t>
  </si>
  <si>
    <t>发票开具</t>
  </si>
  <si>
    <t>发票号码</t>
  </si>
  <si>
    <t>开票日期</t>
  </si>
  <si>
    <t>开票单位</t>
  </si>
  <si>
    <t>备注</t>
  </si>
  <si>
    <t>广州真成物业发展有限公司</t>
  </si>
  <si>
    <t>2022-7-1至2024-6-30</t>
  </si>
  <si>
    <t>消防设施维保</t>
  </si>
  <si>
    <t>年</t>
  </si>
  <si>
    <t>是（50%）</t>
  </si>
  <si>
    <t>2023.06.13</t>
  </si>
  <si>
    <t>贤安</t>
  </si>
  <si>
    <t>小计</t>
  </si>
  <si>
    <t>已结算一半2023.06.15</t>
  </si>
  <si>
    <t>3772/230620007</t>
  </si>
  <si>
    <t>DN150消防止回阀更换</t>
  </si>
  <si>
    <t>台</t>
  </si>
  <si>
    <t>黄军明</t>
  </si>
  <si>
    <t>不锈钢缓冲管</t>
  </si>
  <si>
    <t>个</t>
  </si>
  <si>
    <t>DN15球阀</t>
  </si>
  <si>
    <t>DN25卷盘闸阀</t>
  </si>
  <si>
    <t>热继电器</t>
  </si>
  <si>
    <t>DN80衬塑生活钢管更换</t>
  </si>
  <si>
    <t>米</t>
  </si>
  <si>
    <t>DN80衬塑卡箍</t>
  </si>
  <si>
    <t>管道支架</t>
  </si>
  <si>
    <t>运输及人工费用</t>
  </si>
  <si>
    <t>趟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</si>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</sst>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2"/>
      <name val="宋体"/>
      <charset val="134"/>
    </font>
    <font>
      <sz val="8"/>
      <name val="宋体"/>
      <charset val="134"/>
    </font>
    <font>
      <b/>
      <sz val="8"/>
      <color rgb="FFFF0000"/>
      <name val="宋体"/>
      <charset val="134"/>
    </font>
    <font>
      <sz val="8"/>
      <color rgb="FFFF0000"/>
      <name val="宋体"/>
      <charset val="134"/>
    </font>
    <font>
      <b/>
      <sz val="8"/>
      <name val="宋体"/>
      <charset val="134"/>
    </font>
    <font>
      <sz val="8"/>
      <color theme="1"/>
      <name val="宋体"/>
      <charset val="134"/>
      <scheme val="minor"/>
    </font>
    <font>
      <sz val="8"/>
      <color rgb="FFFF0000"/>
      <name val="宋体"/>
      <charset val="134"/>
      <scheme val="minor"/>
    </font>
    <font>
      <b/>
      <sz val="8"/>
      <color indexed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14" fontId="5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"/>
  <sheetViews>
    <sheetView tabSelected="1" zoomScale="115" zoomScaleNormal="115" workbookViewId="0">
      <pane ySplit="1" topLeftCell="A2" activePane="bottomLeft" state="frozen"/>
      <selection/>
      <selection pane="bottomLeft" activeCell="A4" sqref="A4:L15"/>
    </sheetView>
  </sheetViews>
  <sheetFormatPr defaultColWidth="9" defaultRowHeight="16" customHeight="1"/>
  <cols>
    <col min="1" max="1" width="5.20833333333333" style="5" customWidth="1"/>
    <col min="2" max="2" width="19.3416666666667" style="6" customWidth="1"/>
    <col min="3" max="3" width="8.36666666666667" style="6" customWidth="1"/>
    <col min="4" max="4" width="8.03333333333333" style="6" customWidth="1"/>
    <col min="5" max="5" width="11.3" style="6" customWidth="1"/>
    <col min="6" max="6" width="14.7833333333333" style="6" customWidth="1"/>
    <col min="7" max="7" width="6.625" style="7" customWidth="1"/>
    <col min="8" max="9" width="4.1" style="7" customWidth="1"/>
    <col min="10" max="10" width="4.8" style="7" customWidth="1"/>
    <col min="11" max="11" width="8.5" style="7" customWidth="1"/>
    <col min="12" max="12" width="5.2" style="6" customWidth="1"/>
    <col min="13" max="13" width="8.9" style="7" customWidth="1"/>
    <col min="14" max="14" width="6.9" style="6" customWidth="1"/>
    <col min="15" max="15" width="8.3" style="6" customWidth="1"/>
    <col min="16" max="16" width="6.1" style="6" customWidth="1"/>
    <col min="17" max="17" width="20.1" style="8" customWidth="1"/>
    <col min="18" max="30" width="7.2" style="8" customWidth="1"/>
    <col min="31" max="255" width="7.2" style="6" customWidth="1"/>
    <col min="256" max="16384" width="7.2" style="6"/>
  </cols>
  <sheetData>
    <row r="1" s="1" customFormat="1" customHeight="1" spans="1:1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9" t="s">
        <v>16</v>
      </c>
    </row>
    <row r="2" s="2" customFormat="1" customHeight="1" spans="1:30">
      <c r="A2" s="10">
        <v>2</v>
      </c>
      <c r="B2" s="11" t="s">
        <v>17</v>
      </c>
      <c r="C2" s="12" t="s">
        <v>18</v>
      </c>
      <c r="D2" s="12"/>
      <c r="E2" s="12"/>
      <c r="F2" s="13" t="s">
        <v>19</v>
      </c>
      <c r="G2" s="14"/>
      <c r="H2" s="14" t="s">
        <v>20</v>
      </c>
      <c r="I2" s="14">
        <v>2</v>
      </c>
      <c r="J2" s="26">
        <v>30000</v>
      </c>
      <c r="K2" s="23">
        <f t="shared" ref="K2:K8" si="0">I2*J2</f>
        <v>60000</v>
      </c>
      <c r="L2" s="13"/>
      <c r="M2" s="14" t="s">
        <v>21</v>
      </c>
      <c r="N2" s="13">
        <v>36364923</v>
      </c>
      <c r="O2" s="13" t="s">
        <v>22</v>
      </c>
      <c r="P2" s="13" t="s">
        <v>23</v>
      </c>
      <c r="Q2" s="13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="3" customFormat="1" ht="12" customHeight="1" spans="1:30">
      <c r="A3" s="15"/>
      <c r="B3" s="16"/>
      <c r="C3" s="17"/>
      <c r="D3" s="17"/>
      <c r="E3" s="17"/>
      <c r="F3" s="18" t="s">
        <v>24</v>
      </c>
      <c r="G3" s="19"/>
      <c r="H3" s="19"/>
      <c r="I3" s="19"/>
      <c r="J3" s="27"/>
      <c r="K3" s="15">
        <v>3000</v>
      </c>
      <c r="L3" s="18" t="s">
        <v>25</v>
      </c>
      <c r="M3" s="19"/>
      <c r="N3" s="28"/>
      <c r="O3" s="28"/>
      <c r="P3" s="28"/>
      <c r="Q3" s="28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="4" customFormat="1" ht="15" customHeight="1" spans="1:17">
      <c r="A4" s="20">
        <v>1</v>
      </c>
      <c r="B4" s="11" t="s">
        <v>17</v>
      </c>
      <c r="C4" s="21">
        <v>45094</v>
      </c>
      <c r="D4" s="21">
        <v>45097</v>
      </c>
      <c r="E4" s="22" t="s">
        <v>26</v>
      </c>
      <c r="F4" s="22" t="s">
        <v>27</v>
      </c>
      <c r="G4" s="23"/>
      <c r="H4" s="23" t="s">
        <v>28</v>
      </c>
      <c r="I4" s="23">
        <v>1</v>
      </c>
      <c r="J4" s="23">
        <v>1450</v>
      </c>
      <c r="K4" s="23">
        <f t="shared" si="0"/>
        <v>1450</v>
      </c>
      <c r="L4" s="22" t="s">
        <v>29</v>
      </c>
      <c r="M4" s="14"/>
      <c r="N4" s="23"/>
      <c r="O4" s="14"/>
      <c r="P4" s="14"/>
      <c r="Q4" s="22"/>
    </row>
    <row r="5" s="4" customFormat="1" ht="15" customHeight="1" spans="1:17">
      <c r="A5" s="20"/>
      <c r="B5" s="11" t="s">
        <v>17</v>
      </c>
      <c r="C5" s="21">
        <v>45094</v>
      </c>
      <c r="D5" s="21">
        <v>45097</v>
      </c>
      <c r="E5" s="22" t="s">
        <v>26</v>
      </c>
      <c r="F5" s="22" t="s">
        <v>30</v>
      </c>
      <c r="G5" s="23"/>
      <c r="H5" s="23" t="s">
        <v>31</v>
      </c>
      <c r="I5" s="23">
        <v>1</v>
      </c>
      <c r="J5" s="23">
        <v>55</v>
      </c>
      <c r="K5" s="23">
        <f t="shared" si="0"/>
        <v>55</v>
      </c>
      <c r="L5" s="22" t="s">
        <v>29</v>
      </c>
      <c r="M5" s="14"/>
      <c r="N5" s="23"/>
      <c r="O5" s="14"/>
      <c r="P5" s="14"/>
      <c r="Q5" s="22"/>
    </row>
    <row r="6" s="4" customFormat="1" ht="15" customHeight="1" spans="1:17">
      <c r="A6" s="20"/>
      <c r="B6" s="11" t="s">
        <v>17</v>
      </c>
      <c r="C6" s="21">
        <v>45094</v>
      </c>
      <c r="D6" s="21">
        <v>45097</v>
      </c>
      <c r="E6" s="22" t="s">
        <v>26</v>
      </c>
      <c r="F6" s="22" t="s">
        <v>32</v>
      </c>
      <c r="G6" s="23"/>
      <c r="H6" s="23" t="s">
        <v>31</v>
      </c>
      <c r="I6" s="23">
        <v>1</v>
      </c>
      <c r="J6" s="23">
        <v>75</v>
      </c>
      <c r="K6" s="23">
        <f t="shared" si="0"/>
        <v>75</v>
      </c>
      <c r="L6" s="22" t="s">
        <v>29</v>
      </c>
      <c r="M6" s="14"/>
      <c r="N6" s="23"/>
      <c r="O6" s="14"/>
      <c r="P6" s="14"/>
      <c r="Q6" s="22"/>
    </row>
    <row r="7" s="4" customFormat="1" ht="15" customHeight="1" spans="1:17">
      <c r="A7" s="20"/>
      <c r="B7" s="11" t="s">
        <v>17</v>
      </c>
      <c r="C7" s="21">
        <v>45094</v>
      </c>
      <c r="D7" s="21">
        <v>45097</v>
      </c>
      <c r="E7" s="22" t="s">
        <v>26</v>
      </c>
      <c r="F7" s="22" t="s">
        <v>33</v>
      </c>
      <c r="G7" s="23"/>
      <c r="H7" s="23" t="s">
        <v>31</v>
      </c>
      <c r="I7" s="23">
        <v>1</v>
      </c>
      <c r="J7" s="23">
        <v>380</v>
      </c>
      <c r="K7" s="23">
        <f t="shared" si="0"/>
        <v>380</v>
      </c>
      <c r="L7" s="22" t="s">
        <v>29</v>
      </c>
      <c r="M7" s="14"/>
      <c r="N7" s="23"/>
      <c r="O7" s="14"/>
      <c r="P7" s="14"/>
      <c r="Q7" s="22"/>
    </row>
    <row r="8" s="4" customFormat="1" ht="15" customHeight="1" spans="1:17">
      <c r="A8" s="20"/>
      <c r="B8" s="11" t="s">
        <v>17</v>
      </c>
      <c r="C8" s="21">
        <v>45094</v>
      </c>
      <c r="D8" s="21">
        <v>45097</v>
      </c>
      <c r="E8" s="22" t="s">
        <v>26</v>
      </c>
      <c r="F8" s="22" t="s">
        <v>34</v>
      </c>
      <c r="G8" s="23"/>
      <c r="H8" s="23" t="s">
        <v>31</v>
      </c>
      <c r="I8" s="23">
        <v>1</v>
      </c>
      <c r="J8" s="23">
        <v>680</v>
      </c>
      <c r="K8" s="23">
        <f t="shared" si="0"/>
        <v>680</v>
      </c>
      <c r="L8" s="22" t="s">
        <v>29</v>
      </c>
      <c r="M8" s="14"/>
      <c r="N8" s="23"/>
      <c r="O8" s="14"/>
      <c r="P8" s="14"/>
      <c r="Q8" s="22"/>
    </row>
    <row r="9" s="2" customFormat="1" ht="12" customHeight="1" spans="1:30">
      <c r="A9" s="15"/>
      <c r="B9" s="18"/>
      <c r="C9" s="18"/>
      <c r="D9" s="18"/>
      <c r="E9" s="18"/>
      <c r="F9" s="18" t="s">
        <v>24</v>
      </c>
      <c r="G9" s="15"/>
      <c r="H9" s="15"/>
      <c r="I9" s="15"/>
      <c r="J9" s="15"/>
      <c r="K9" s="15">
        <f>SUM(K4:K8)</f>
        <v>2640</v>
      </c>
      <c r="L9" s="15"/>
      <c r="M9" s="15"/>
      <c r="N9" s="18"/>
      <c r="O9" s="18"/>
      <c r="P9" s="18"/>
      <c r="Q9" s="18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="4" customFormat="1" ht="15" customHeight="1" spans="1:17">
      <c r="A10" s="20">
        <v>2</v>
      </c>
      <c r="B10" s="11" t="s">
        <v>17</v>
      </c>
      <c r="C10" s="21">
        <v>45125</v>
      </c>
      <c r="D10" s="21">
        <v>45132</v>
      </c>
      <c r="E10" s="22">
        <v>230418008</v>
      </c>
      <c r="F10" s="22" t="s">
        <v>35</v>
      </c>
      <c r="G10" s="23"/>
      <c r="H10" s="23" t="s">
        <v>36</v>
      </c>
      <c r="I10" s="23">
        <v>10</v>
      </c>
      <c r="J10" s="23">
        <v>295</v>
      </c>
      <c r="K10" s="23">
        <f t="shared" ref="K10:K13" si="1">I10*J10</f>
        <v>2950</v>
      </c>
      <c r="L10" s="22" t="s">
        <v>29</v>
      </c>
      <c r="M10" s="14"/>
      <c r="N10" s="23"/>
      <c r="O10" s="14"/>
      <c r="P10" s="14"/>
      <c r="Q10" s="22"/>
    </row>
    <row r="11" s="4" customFormat="1" ht="15" customHeight="1" spans="1:17">
      <c r="A11" s="20"/>
      <c r="B11" s="11" t="s">
        <v>17</v>
      </c>
      <c r="C11" s="21">
        <v>45125</v>
      </c>
      <c r="D11" s="21">
        <v>45132</v>
      </c>
      <c r="E11" s="22">
        <v>230418008</v>
      </c>
      <c r="F11" s="22" t="s">
        <v>37</v>
      </c>
      <c r="G11" s="23"/>
      <c r="H11" s="23" t="s">
        <v>31</v>
      </c>
      <c r="I11" s="23">
        <v>5</v>
      </c>
      <c r="J11" s="23">
        <v>55</v>
      </c>
      <c r="K11" s="23">
        <f t="shared" si="1"/>
        <v>275</v>
      </c>
      <c r="L11" s="22" t="s">
        <v>29</v>
      </c>
      <c r="M11" s="14"/>
      <c r="N11" s="23"/>
      <c r="O11" s="14"/>
      <c r="P11" s="14"/>
      <c r="Q11" s="22"/>
    </row>
    <row r="12" s="4" customFormat="1" ht="15" customHeight="1" spans="1:17">
      <c r="A12" s="20"/>
      <c r="B12" s="11" t="s">
        <v>17</v>
      </c>
      <c r="C12" s="21">
        <v>45125</v>
      </c>
      <c r="D12" s="21">
        <v>45132</v>
      </c>
      <c r="E12" s="22">
        <v>230418008</v>
      </c>
      <c r="F12" s="22" t="s">
        <v>38</v>
      </c>
      <c r="G12" s="23"/>
      <c r="H12" s="23" t="s">
        <v>31</v>
      </c>
      <c r="I12" s="23">
        <v>5</v>
      </c>
      <c r="J12" s="23">
        <v>95</v>
      </c>
      <c r="K12" s="23">
        <f t="shared" si="1"/>
        <v>475</v>
      </c>
      <c r="L12" s="22" t="s">
        <v>29</v>
      </c>
      <c r="M12" s="14"/>
      <c r="N12" s="23"/>
      <c r="O12" s="14"/>
      <c r="P12" s="14"/>
      <c r="Q12" s="22"/>
    </row>
    <row r="13" s="4" customFormat="1" ht="15" customHeight="1" spans="1:17">
      <c r="A13" s="20"/>
      <c r="B13" s="11" t="s">
        <v>17</v>
      </c>
      <c r="C13" s="21">
        <v>45125</v>
      </c>
      <c r="D13" s="21">
        <v>45132</v>
      </c>
      <c r="E13" s="22">
        <v>230418008</v>
      </c>
      <c r="F13" s="22" t="s">
        <v>39</v>
      </c>
      <c r="G13" s="23"/>
      <c r="H13" s="23" t="s">
        <v>40</v>
      </c>
      <c r="I13" s="23">
        <v>1</v>
      </c>
      <c r="J13" s="23">
        <v>1200</v>
      </c>
      <c r="K13" s="23">
        <f t="shared" si="1"/>
        <v>1200</v>
      </c>
      <c r="L13" s="22" t="s">
        <v>29</v>
      </c>
      <c r="M13" s="14"/>
      <c r="N13" s="23"/>
      <c r="O13" s="14"/>
      <c r="P13" s="14"/>
      <c r="Q13" s="22"/>
    </row>
    <row r="14" s="2" customFormat="1" ht="12" customHeight="1" spans="1:30">
      <c r="A14" s="15"/>
      <c r="B14" s="18"/>
      <c r="C14" s="18"/>
      <c r="D14" s="18"/>
      <c r="E14" s="18"/>
      <c r="F14" s="18" t="s">
        <v>24</v>
      </c>
      <c r="G14" s="15"/>
      <c r="H14" s="15"/>
      <c r="I14" s="15"/>
      <c r="J14" s="15"/>
      <c r="K14" s="15">
        <f>SUM(K10:K13)</f>
        <v>4900</v>
      </c>
      <c r="L14" s="15"/>
      <c r="M14" s="15"/>
      <c r="N14" s="18"/>
      <c r="O14" s="18"/>
      <c r="P14" s="18"/>
      <c r="Q14" s="18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customHeight="1" spans="1:17">
      <c r="A15" s="20"/>
      <c r="B15" s="24"/>
      <c r="C15" s="24"/>
      <c r="D15" s="24"/>
      <c r="E15" s="24"/>
      <c r="F15" s="24" t="s">
        <v>41</v>
      </c>
      <c r="G15" s="20"/>
      <c r="H15" s="20"/>
      <c r="I15" s="20"/>
      <c r="J15" s="20"/>
      <c r="K15" s="29">
        <f>K9+K14</f>
        <v>7540</v>
      </c>
      <c r="L15" s="24"/>
      <c r="M15" s="20"/>
      <c r="N15" s="24"/>
      <c r="O15" s="24"/>
      <c r="P15" s="24"/>
      <c r="Q15" s="24"/>
    </row>
  </sheetData>
  <dataValidations count="1">
    <dataValidation allowBlank="1" showInputMessage="1" showErrorMessage="1" sqref="F1:K1 L1 Q1"/>
  </dataValidations>
  <printOptions gridLines="1"/>
  <pageMargins left="0.75" right="0.75" top="1" bottom="1" header="0.5" footer="0.5"/>
  <pageSetup paperSize="9" scale="12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真成物业（龙苑大厦）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斌</cp:lastModifiedBy>
  <dcterms:created xsi:type="dcterms:W3CDTF">2024-03-20T09:49:00Z</dcterms:created>
  <dcterms:modified xsi:type="dcterms:W3CDTF">2024-03-22T00:38:41Z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DDDB21BD6C77408095F9F3B1C0A456E9_13</vt:lpwstr>
  </property>
  <property fmtid="{D5CDD505-2E9C-101B-9397-08002B2CF9AE}" pid="3" name="KSOProductBuildVer">
    <vt:lpwstr>2052-12.1.0.16250</vt:lpwstr>
  </property>
</Properties>
</file>